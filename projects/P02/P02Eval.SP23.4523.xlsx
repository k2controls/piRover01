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244" documentId="8_{1D8BD36D-1605-42FD-8D43-835EF22D9162}" xr6:coauthVersionLast="47" xr6:coauthVersionMax="47" xr10:uidLastSave="{C0D60D79-29AF-4BF4-AFCB-DEB8CAAA4F91}"/>
  <bookViews>
    <workbookView xWindow="18780" yWindow="1005" windowWidth="15765" windowHeight="20625" tabRatio="676" firstSheet="6" activeTab="13" xr2:uid="{00000000-000D-0000-FFFF-FFFF00000000}"/>
  </bookViews>
  <sheets>
    <sheet name="Anders" sheetId="22" r:id="rId1"/>
    <sheet name="Chang" sheetId="18" r:id="rId2"/>
    <sheet name="Anthony" sheetId="12" r:id="rId3"/>
    <sheet name="Chance" sheetId="17" r:id="rId4"/>
    <sheet name="Devin" sheetId="19" r:id="rId5"/>
    <sheet name="Ethan" sheetId="20" r:id="rId6"/>
    <sheet name="Kenneth" sheetId="21" r:id="rId7"/>
    <sheet name="Lee" sheetId="16" r:id="rId8"/>
    <sheet name="Nate" sheetId="26" r:id="rId9"/>
    <sheet name="Nick" sheetId="24" r:id="rId10"/>
    <sheet name="Paul" sheetId="25" r:id="rId11"/>
    <sheet name="Riley" sheetId="23" r:id="rId12"/>
    <sheet name="Sawyer" sheetId="27" r:id="rId13"/>
    <sheet name="2049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" i="27" l="1"/>
  <c r="G21" i="22"/>
  <c r="D21" i="22"/>
  <c r="C21" i="22"/>
  <c r="G15" i="22"/>
  <c r="D15" i="22"/>
  <c r="C15" i="22"/>
  <c r="C22" i="22" s="1"/>
  <c r="B2" i="22"/>
  <c r="C22" i="18"/>
  <c r="G21" i="18"/>
  <c r="D21" i="18"/>
  <c r="D22" i="18" s="1"/>
  <c r="E22" i="18" s="1"/>
  <c r="C21" i="18"/>
  <c r="G15" i="18"/>
  <c r="D15" i="18"/>
  <c r="C15" i="18"/>
  <c r="B2" i="18"/>
  <c r="G21" i="12"/>
  <c r="D21" i="12"/>
  <c r="C21" i="12"/>
  <c r="G15" i="12"/>
  <c r="D15" i="12"/>
  <c r="D22" i="12" s="1"/>
  <c r="C15" i="12"/>
  <c r="C22" i="12" s="1"/>
  <c r="B2" i="12"/>
  <c r="G21" i="17"/>
  <c r="D21" i="17"/>
  <c r="C21" i="17"/>
  <c r="G15" i="17"/>
  <c r="D15" i="17"/>
  <c r="C15" i="17"/>
  <c r="C22" i="17" s="1"/>
  <c r="B2" i="17"/>
  <c r="G21" i="19"/>
  <c r="D21" i="19"/>
  <c r="C21" i="19"/>
  <c r="G15" i="19"/>
  <c r="D15" i="19"/>
  <c r="C15" i="19"/>
  <c r="C22" i="19" s="1"/>
  <c r="B2" i="19"/>
  <c r="D22" i="20"/>
  <c r="E22" i="20" s="1"/>
  <c r="C22" i="20"/>
  <c r="G21" i="20"/>
  <c r="D21" i="20"/>
  <c r="C21" i="20"/>
  <c r="G15" i="20"/>
  <c r="D15" i="20"/>
  <c r="C15" i="20"/>
  <c r="B2" i="20"/>
  <c r="G21" i="21"/>
  <c r="D21" i="21"/>
  <c r="C21" i="21"/>
  <c r="G15" i="21"/>
  <c r="D15" i="21"/>
  <c r="D22" i="21" s="1"/>
  <c r="C15" i="21"/>
  <c r="C22" i="21" s="1"/>
  <c r="B2" i="21"/>
  <c r="G21" i="16"/>
  <c r="D21" i="16"/>
  <c r="C21" i="16"/>
  <c r="G15" i="16"/>
  <c r="D15" i="16"/>
  <c r="C15" i="16"/>
  <c r="C22" i="16" s="1"/>
  <c r="B2" i="16"/>
  <c r="G21" i="26"/>
  <c r="D21" i="26"/>
  <c r="C21" i="26"/>
  <c r="G15" i="26"/>
  <c r="D15" i="26"/>
  <c r="C15" i="26"/>
  <c r="C22" i="26" s="1"/>
  <c r="B2" i="26"/>
  <c r="C22" i="24"/>
  <c r="G21" i="24"/>
  <c r="D21" i="24"/>
  <c r="C21" i="24"/>
  <c r="G15" i="24"/>
  <c r="D15" i="24"/>
  <c r="C15" i="24"/>
  <c r="B2" i="24"/>
  <c r="G21" i="25"/>
  <c r="D21" i="25"/>
  <c r="C21" i="25"/>
  <c r="G15" i="25"/>
  <c r="D15" i="25"/>
  <c r="D22" i="25" s="1"/>
  <c r="E22" i="25" s="1"/>
  <c r="C15" i="25"/>
  <c r="C22" i="25" s="1"/>
  <c r="B2" i="25"/>
  <c r="G21" i="23"/>
  <c r="D21" i="23"/>
  <c r="C21" i="23"/>
  <c r="G15" i="23"/>
  <c r="D15" i="23"/>
  <c r="D22" i="23" s="1"/>
  <c r="C15" i="23"/>
  <c r="C22" i="23" s="1"/>
  <c r="B2" i="23"/>
  <c r="G21" i="27"/>
  <c r="D21" i="27"/>
  <c r="D22" i="27" s="1"/>
  <c r="C21" i="27"/>
  <c r="G15" i="27"/>
  <c r="C15" i="27"/>
  <c r="C22" i="27" s="1"/>
  <c r="B2" i="27"/>
  <c r="C22" i="14"/>
  <c r="G21" i="14"/>
  <c r="D21" i="14"/>
  <c r="C21" i="14"/>
  <c r="G15" i="14"/>
  <c r="D15" i="14"/>
  <c r="D22" i="14" s="1"/>
  <c r="E22" i="14" s="1"/>
  <c r="C15" i="14"/>
  <c r="B2" i="14"/>
  <c r="D22" i="24" l="1"/>
  <c r="E22" i="24" s="1"/>
  <c r="D22" i="26"/>
  <c r="E22" i="26" s="1"/>
  <c r="D22" i="16"/>
  <c r="E22" i="16" s="1"/>
  <c r="D22" i="19"/>
  <c r="E22" i="19" s="1"/>
  <c r="D22" i="17"/>
  <c r="E22" i="17" s="1"/>
  <c r="D22" i="22"/>
  <c r="E22" i="22" s="1"/>
  <c r="E22" i="23"/>
  <c r="E22" i="27"/>
  <c r="E22" i="21"/>
  <c r="E22" i="12"/>
</calcChain>
</file>

<file path=xl/sharedStrings.xml><?xml version="1.0" encoding="utf-8"?>
<sst xmlns="http://schemas.openxmlformats.org/spreadsheetml/2006/main" count="486" uniqueCount="92">
  <si>
    <t>Points</t>
  </si>
  <si>
    <t>Comments</t>
  </si>
  <si>
    <t>P02 - User Move - Project Evaluation</t>
  </si>
  <si>
    <t>Name:</t>
  </si>
  <si>
    <t>Part</t>
  </si>
  <si>
    <t>Description</t>
  </si>
  <si>
    <t>Score</t>
  </si>
  <si>
    <t>user_move.py file created and submitted as .zip</t>
  </si>
  <si>
    <t>motor_control_intro file included as reference</t>
  </si>
  <si>
    <t>user_blink file included as reference</t>
  </si>
  <si>
    <t>Solution contains initialization and move functions copied from motor_control_intro</t>
  </si>
  <si>
    <t xml:space="preserve">GPIO is initialized </t>
  </si>
  <si>
    <t>Message output to terminal listing valid move commands</t>
  </si>
  <si>
    <t>Move command input obtained - upper and lower case</t>
  </si>
  <si>
    <t>User move is matched to possible moves</t>
  </si>
  <si>
    <t>Message to user if invalid move is entered</t>
  </si>
  <si>
    <t>Valid move calls appropriate move function</t>
  </si>
  <si>
    <t>Solution contains valid Python code with correct syntax</t>
  </si>
  <si>
    <t>SUBTOTAL</t>
  </si>
  <si>
    <t>New rotate functions created</t>
  </si>
  <si>
    <t>New rotate functions implemented</t>
  </si>
  <si>
    <t>User prompted for move delay</t>
  </si>
  <si>
    <t>User's move delay assigned to function parameter</t>
  </si>
  <si>
    <t>Quit command ends program</t>
  </si>
  <si>
    <t>TOTAL</t>
  </si>
  <si>
    <t>Yes</t>
  </si>
  <si>
    <t>Error in init. Stop() at line 20 defined in the middle of init() code. Did you test? See directions. Functional code was first step.</t>
  </si>
  <si>
    <t>good</t>
  </si>
  <si>
    <t>Okay, but why all the good code commented out at the start. See line 15.</t>
  </si>
  <si>
    <t>print at line 262 should not occur prior to imports. You define init() at line 275 but then never use/call.</t>
  </si>
  <si>
    <t>Yes, but options missing. See table.</t>
  </si>
  <si>
    <t>Yes, but variable name is key yet you're check Key (upper case name at line 425.</t>
  </si>
  <si>
    <t>Yes, but missing items. See table.</t>
  </si>
  <si>
    <t>okay</t>
  </si>
  <si>
    <t xml:space="preserve">functions not called. You do have some of this code at line 468. No main loop. See user blink code. </t>
  </si>
  <si>
    <t>Code at 489 should be removed. Blink code loop should be removed at line 509. What is key_press? Where is that defined? See user_blink pattern.</t>
  </si>
  <si>
    <t>Missing</t>
  </si>
  <si>
    <t>No main loop. No exit/quit.</t>
  </si>
  <si>
    <t>forward is incorrect. Left rotate is incorrect. Did you test? See instructions.</t>
  </si>
  <si>
    <t>Again, forward is incorrect.</t>
  </si>
  <si>
    <t>Missing back turns</t>
  </si>
  <si>
    <t>Missing back turns. Issues with existing.</t>
  </si>
  <si>
    <t>There is a call to init() at line 130 but this looks like old code from motor control testing. Should be initialized on or around line 90.</t>
  </si>
  <si>
    <t>User is prompted for move but no list. No main loop asking for next move.</t>
  </si>
  <si>
    <t>Yes but back moves undefined. No delay - 2 secs or otherwise included.</t>
  </si>
  <si>
    <t>Missing. Should be at line 119</t>
  </si>
  <si>
    <t>Old/invalid code at line 120. Errors. See line 95.  No main loop. See user-blink example.</t>
  </si>
  <si>
    <t>Yes, but invalid code.</t>
  </si>
  <si>
    <t>No convert to int and no delay included.</t>
  </si>
  <si>
    <t>no main loop included. Quit() is used but not functional due to no looping.</t>
  </si>
  <si>
    <t>Yes.</t>
  </si>
  <si>
    <t>Good but I'd remove the extra time.sleep(2). See line 165.</t>
  </si>
  <si>
    <t>Good but you need GPIO.cleanup() at line 194. You're missing (). This is a function.</t>
  </si>
  <si>
    <t>Nice code, Anthony!</t>
  </si>
  <si>
    <t>None submitted. Student dropped.</t>
  </si>
  <si>
    <t>None submitted. Student has stopped attending.</t>
  </si>
  <si>
    <t>Yes, but don't include this in main loop. Ove to line 101. No need to reinitialize each time through the loop.</t>
  </si>
  <si>
    <t>This is correct. I am not seeing any issues. You ask for a delay and then convert s string value to s int value on line 106. This will cause a delay. There should be a stop after each though. Otherwise, move continues.</t>
  </si>
  <si>
    <t>Nice code, Ethan.</t>
  </si>
  <si>
    <t>Kenneth, this is very good code! Nice use of both continue and break. Have you done coding before?</t>
  </si>
  <si>
    <t>This is not user_blink solution. There were important concepts and patterns in this solution that are required for P02.</t>
  </si>
  <si>
    <t>Missing doc string.See directions,</t>
  </si>
  <si>
    <t>No user move code. This is a copy of motor controller.</t>
  </si>
  <si>
    <t>None</t>
  </si>
  <si>
    <t>no</t>
  </si>
  <si>
    <t>Lee, there is no user_move solution. File provided is just a copy of earlier motor controller intro.</t>
  </si>
  <si>
    <t>Error on line 45.Did you test. See directions.</t>
  </si>
  <si>
    <t>Init() is included but in every selection structure. Only call once on or around line 148.</t>
  </si>
  <si>
    <t>Yes, but no main loop. See user blink. Single command entered and then exit.</t>
  </si>
  <si>
    <t>No continuous loop. See user-blink.</t>
  </si>
  <si>
    <t>Yes, but not required. There is no loop to exit from.</t>
  </si>
  <si>
    <t>Add version 2 to file name but keep .py extension.</t>
  </si>
  <si>
    <t>What is code at line 62. Did you test. See directions.</t>
  </si>
  <si>
    <t>numpy library?</t>
  </si>
  <si>
    <t xml:space="preserve">Backwards is incorrect. Did you test? Right is incorrect. Left is incorrect. </t>
  </si>
  <si>
    <t>Missing back turns. Basic turns are wrong</t>
  </si>
  <si>
    <t>Yes, but extensions AA, AAA are missing.</t>
  </si>
  <si>
    <t>Yes, but poor structure. Include input only once in loop. See user blink as example.</t>
  </si>
  <si>
    <t>Okay</t>
  </si>
  <si>
    <t>Incorrect move code. Structure issues wit looping.</t>
  </si>
  <si>
    <t xml:space="preserve">This causes error. You need to leave the loop prior to resetting the GPIO. </t>
  </si>
  <si>
    <t>Good. This are concepts we'll present in RAM205. Better if 
my_drive = Drive()
my_drive.run()</t>
  </si>
  <si>
    <t>Again, some great intermediate code. We'll work to clean up the structure a bit.</t>
  </si>
  <si>
    <t>Very nice. Good use of functions variables as dictionary values. Let's talk about an approach for RAM205 that makes sense for you.</t>
  </si>
  <si>
    <t>Very nice code. Is this based on my solution from last semester or did you write this.</t>
  </si>
  <si>
    <t>I suggest removing th extra time.sleep(2). See line 190.</t>
  </si>
  <si>
    <t>Missing. See directions.</t>
  </si>
  <si>
    <t>Two imports of Rpi.GPIO?</t>
  </si>
  <si>
    <t>back turns are missing</t>
  </si>
  <si>
    <t>none</t>
  </si>
  <si>
    <t>Noe</t>
  </si>
  <si>
    <t>No main loop. No continuous user entry. See user_blink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</si>
</sst>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2" borderId="0" xfId="0" applyFont="1" applyFill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center" vertical="top" wrapText="1"/>
    </xf>
    <xf numFmtId="164" fontId="7" fillId="3" borderId="18" xfId="1" applyNumberFormat="1" applyFont="1" applyFill="1" applyBorder="1" applyAlignment="1">
      <alignment horizontal="left" vertical="top" wrapText="1"/>
    </xf>
    <xf numFmtId="164" fontId="7" fillId="3" borderId="22" xfId="1" applyNumberFormat="1" applyFont="1" applyFill="1" applyBorder="1" applyAlignment="1">
      <alignment horizontal="left" vertical="top" wrapText="1"/>
    </xf>
    <xf numFmtId="9" fontId="8" fillId="3" borderId="5" xfId="0" applyNumberFormat="1" applyFont="1" applyFill="1" applyBorder="1" applyAlignment="1">
      <alignment horizontal="right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9" fontId="6" fillId="3" borderId="19" xfId="0" applyNumberFormat="1" applyFont="1" applyFill="1" applyBorder="1" applyAlignment="1">
      <alignment horizontal="right" vertical="top" wrapText="1"/>
    </xf>
    <xf numFmtId="9" fontId="6" fillId="3" borderId="18" xfId="0" applyNumberFormat="1" applyFont="1" applyFill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13" xfId="0" applyFont="1" applyBorder="1" applyAlignment="1">
      <alignment horizontal="center" vertical="top" wrapText="1"/>
    </xf>
    <xf numFmtId="9" fontId="6" fillId="3" borderId="16" xfId="0" applyNumberFormat="1" applyFont="1" applyFill="1" applyBorder="1" applyAlignment="1">
      <alignment horizontal="right" vertical="top" wrapText="1"/>
    </xf>
    <xf numFmtId="9" fontId="6" fillId="3" borderId="17" xfId="0" applyNumberFormat="1" applyFont="1" applyFill="1" applyBorder="1" applyAlignment="1">
      <alignment horizontal="righ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163C-3B81-45DF-AAD7-F7DD82D3B23E}">
  <sheetPr>
    <pageSetUpPr fitToPage="1"/>
  </sheetPr>
  <dimension ref="A1:I22"/>
  <sheetViews>
    <sheetView zoomScale="90" zoomScaleNormal="90" workbookViewId="0">
      <selection activeCell="E37" sqref="E37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Anders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 t="s">
        <v>25</v>
      </c>
      <c r="G4" s="13">
        <v>2</v>
      </c>
      <c r="H4" s="14"/>
    </row>
    <row r="5" spans="1:8" ht="51.75" thickBot="1" x14ac:dyDescent="0.3">
      <c r="A5" s="30"/>
      <c r="B5" s="15" t="s">
        <v>8</v>
      </c>
      <c r="C5" s="12">
        <v>2</v>
      </c>
      <c r="D5" s="13">
        <v>1</v>
      </c>
      <c r="E5" s="14" t="s">
        <v>26</v>
      </c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2</v>
      </c>
      <c r="E6" s="14" t="s">
        <v>27</v>
      </c>
      <c r="G6" s="13">
        <v>2</v>
      </c>
      <c r="H6" s="14"/>
    </row>
    <row r="7" spans="1:8" ht="39" customHeight="1" thickBot="1" x14ac:dyDescent="0.3">
      <c r="A7" s="21"/>
      <c r="B7" s="15" t="s">
        <v>10</v>
      </c>
      <c r="C7" s="12">
        <v>3</v>
      </c>
      <c r="D7" s="13">
        <v>3</v>
      </c>
      <c r="E7" s="14" t="s">
        <v>28</v>
      </c>
      <c r="G7" s="13">
        <v>3</v>
      </c>
      <c r="H7" s="14"/>
    </row>
    <row r="8" spans="1:8" ht="39" thickBot="1" x14ac:dyDescent="0.3">
      <c r="A8" s="20">
        <v>2</v>
      </c>
      <c r="B8" s="15" t="s">
        <v>11</v>
      </c>
      <c r="C8" s="12">
        <v>4</v>
      </c>
      <c r="D8" s="13">
        <v>1</v>
      </c>
      <c r="E8" s="14" t="s">
        <v>29</v>
      </c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3</v>
      </c>
      <c r="E9" s="14" t="s">
        <v>30</v>
      </c>
      <c r="G9" s="13">
        <v>4</v>
      </c>
      <c r="H9" s="14"/>
    </row>
    <row r="10" spans="1:8" ht="45.75" customHeight="1" thickBot="1" x14ac:dyDescent="0.3">
      <c r="A10" s="30"/>
      <c r="B10" s="15" t="s">
        <v>13</v>
      </c>
      <c r="C10" s="12">
        <v>4</v>
      </c>
      <c r="D10" s="13">
        <v>3</v>
      </c>
      <c r="E10" s="14" t="s">
        <v>31</v>
      </c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3</v>
      </c>
      <c r="E11" s="14" t="s">
        <v>32</v>
      </c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 t="s">
        <v>33</v>
      </c>
      <c r="G12" s="13">
        <v>2</v>
      </c>
      <c r="H12" s="14"/>
    </row>
    <row r="13" spans="1:8" ht="39" thickBot="1" x14ac:dyDescent="0.3">
      <c r="A13" s="30"/>
      <c r="B13" s="15" t="s">
        <v>16</v>
      </c>
      <c r="C13" s="12">
        <v>4</v>
      </c>
      <c r="D13" s="13">
        <v>1</v>
      </c>
      <c r="E13" s="14" t="s">
        <v>34</v>
      </c>
      <c r="G13" s="13">
        <v>4</v>
      </c>
      <c r="H13" s="14"/>
    </row>
    <row r="14" spans="1:8" ht="51.75" thickBot="1" x14ac:dyDescent="0.3">
      <c r="A14" s="21"/>
      <c r="B14" s="11" t="s">
        <v>17</v>
      </c>
      <c r="C14" s="12">
        <v>4</v>
      </c>
      <c r="D14" s="13">
        <v>1</v>
      </c>
      <c r="E14" s="14" t="s">
        <v>35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22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 t="s">
        <v>33</v>
      </c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 t="s">
        <v>33</v>
      </c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0</v>
      </c>
      <c r="E18" s="14" t="s">
        <v>36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0</v>
      </c>
      <c r="E19" s="14" t="s">
        <v>36</v>
      </c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0</v>
      </c>
      <c r="E20" s="14" t="s">
        <v>37</v>
      </c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6</v>
      </c>
      <c r="E21" s="14"/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28</v>
      </c>
      <c r="E22" s="19">
        <f>D22/C22</f>
        <v>0.56000000000000005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00C3-CF4A-4010-AD54-C801571B2677}">
  <sheetPr>
    <pageSetUpPr fitToPage="1"/>
  </sheetPr>
  <dimension ref="A1:I22"/>
  <sheetViews>
    <sheetView zoomScale="90" zoomScaleNormal="90" workbookViewId="0">
      <selection activeCell="D16" sqref="D16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Chang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 t="s">
        <v>25</v>
      </c>
      <c r="G4" s="13">
        <v>2</v>
      </c>
      <c r="H4" s="14"/>
    </row>
    <row r="5" spans="1:8" ht="39" thickBot="1" x14ac:dyDescent="0.3">
      <c r="A5" s="30"/>
      <c r="B5" s="15" t="s">
        <v>8</v>
      </c>
      <c r="C5" s="12">
        <v>2</v>
      </c>
      <c r="D5" s="13">
        <v>1</v>
      </c>
      <c r="E5" s="14" t="s">
        <v>38</v>
      </c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 t="s">
        <v>27</v>
      </c>
      <c r="E6" s="14"/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2</v>
      </c>
      <c r="E7" s="14" t="s">
        <v>39</v>
      </c>
      <c r="G7" s="13">
        <v>3</v>
      </c>
      <c r="H7" s="14"/>
    </row>
    <row r="8" spans="1:8" ht="51.75" thickBot="1" x14ac:dyDescent="0.3">
      <c r="A8" s="20">
        <v>2</v>
      </c>
      <c r="B8" s="15" t="s">
        <v>11</v>
      </c>
      <c r="C8" s="12">
        <v>4</v>
      </c>
      <c r="D8" s="13">
        <v>1</v>
      </c>
      <c r="E8" s="14" t="s">
        <v>42</v>
      </c>
      <c r="G8" s="13">
        <v>4</v>
      </c>
      <c r="H8" s="14"/>
    </row>
    <row r="9" spans="1:8" ht="39" customHeight="1" thickBot="1" x14ac:dyDescent="0.3">
      <c r="A9" s="30"/>
      <c r="B9" s="15" t="s">
        <v>12</v>
      </c>
      <c r="C9" s="12">
        <v>4</v>
      </c>
      <c r="D9" s="13">
        <v>1</v>
      </c>
      <c r="E9" s="14" t="s">
        <v>43</v>
      </c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 t="s">
        <v>33</v>
      </c>
      <c r="G10" s="13">
        <v>4</v>
      </c>
      <c r="H10" s="14"/>
    </row>
    <row r="11" spans="1:8" ht="26.25" thickBot="1" x14ac:dyDescent="0.3">
      <c r="A11" s="30"/>
      <c r="B11" s="15" t="s">
        <v>14</v>
      </c>
      <c r="C11" s="12">
        <v>4</v>
      </c>
      <c r="D11" s="13">
        <v>2</v>
      </c>
      <c r="E11" s="14" t="s">
        <v>44</v>
      </c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0</v>
      </c>
      <c r="E12" s="14" t="s">
        <v>45</v>
      </c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 t="s">
        <v>33</v>
      </c>
      <c r="G13" s="13">
        <v>4</v>
      </c>
      <c r="H13" s="14"/>
    </row>
    <row r="14" spans="1:8" ht="39" thickBot="1" x14ac:dyDescent="0.3">
      <c r="A14" s="21"/>
      <c r="B14" s="11" t="s">
        <v>17</v>
      </c>
      <c r="C14" s="12">
        <v>4</v>
      </c>
      <c r="D14" s="13">
        <v>1</v>
      </c>
      <c r="E14" s="14" t="s">
        <v>46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18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2</v>
      </c>
      <c r="E16" s="14" t="s">
        <v>40</v>
      </c>
      <c r="G16" s="13">
        <v>3</v>
      </c>
      <c r="H16" s="14"/>
    </row>
    <row r="17" spans="1:8" ht="26.25" thickBot="1" x14ac:dyDescent="0.3">
      <c r="A17" s="21"/>
      <c r="B17" s="15" t="s">
        <v>20</v>
      </c>
      <c r="C17" s="12">
        <v>3</v>
      </c>
      <c r="D17" s="13">
        <v>2</v>
      </c>
      <c r="E17" s="14" t="s">
        <v>41</v>
      </c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1</v>
      </c>
      <c r="E18" s="14" t="s">
        <v>47</v>
      </c>
      <c r="G18" s="13">
        <v>3</v>
      </c>
      <c r="H18" s="14"/>
    </row>
    <row r="19" spans="1:8" ht="26.25" thickBot="1" x14ac:dyDescent="0.3">
      <c r="A19" s="21"/>
      <c r="B19" s="15" t="s">
        <v>22</v>
      </c>
      <c r="C19" s="12">
        <v>3</v>
      </c>
      <c r="D19" s="13">
        <v>0</v>
      </c>
      <c r="E19" s="14" t="s">
        <v>48</v>
      </c>
      <c r="G19" s="13">
        <v>3</v>
      </c>
      <c r="H19" s="14"/>
    </row>
    <row r="20" spans="1:8" ht="26.25" thickBot="1" x14ac:dyDescent="0.3">
      <c r="A20" s="16">
        <v>5</v>
      </c>
      <c r="B20" s="15" t="s">
        <v>23</v>
      </c>
      <c r="C20" s="12">
        <v>3</v>
      </c>
      <c r="D20" s="13">
        <v>0</v>
      </c>
      <c r="E20" s="14" t="s">
        <v>49</v>
      </c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5</v>
      </c>
      <c r="E21" s="14"/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23</v>
      </c>
      <c r="E22" s="19">
        <f>D22/C22</f>
        <v>0.46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8A1B9-4231-42A1-90DD-2D15ED32EB99}">
  <sheetPr>
    <pageSetUpPr fitToPage="1"/>
  </sheetPr>
  <dimension ref="A1:I22"/>
  <sheetViews>
    <sheetView zoomScale="110" zoomScaleNormal="110" workbookViewId="0">
      <selection activeCell="E30" sqref="E30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Anthony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 t="s">
        <v>50</v>
      </c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 t="s">
        <v>50</v>
      </c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2</v>
      </c>
      <c r="E6" s="14" t="s">
        <v>50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 t="s">
        <v>50</v>
      </c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 t="s">
        <v>50</v>
      </c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 t="s">
        <v>50</v>
      </c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4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35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/>
      <c r="G17" s="13">
        <v>3</v>
      </c>
      <c r="H17" s="14"/>
    </row>
    <row r="18" spans="1:8" ht="26.2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 t="s">
        <v>51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3</v>
      </c>
      <c r="E19" s="14"/>
      <c r="G19" s="13">
        <v>3</v>
      </c>
      <c r="H19" s="14"/>
    </row>
    <row r="20" spans="1:8" ht="39" thickBot="1" x14ac:dyDescent="0.3">
      <c r="A20" s="16">
        <v>5</v>
      </c>
      <c r="B20" s="15" t="s">
        <v>23</v>
      </c>
      <c r="C20" s="12">
        <v>3</v>
      </c>
      <c r="D20" s="13">
        <v>3</v>
      </c>
      <c r="E20" s="14" t="s">
        <v>52</v>
      </c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15</v>
      </c>
      <c r="E21" s="14" t="s">
        <v>53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50</v>
      </c>
      <c r="E22" s="19">
        <f>D22/C22</f>
        <v>1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1C1AD-72C1-42BB-BF37-A80A84E5FD15}">
  <sheetPr>
    <pageSetUpPr fitToPage="1"/>
  </sheetPr>
  <dimension ref="A1:I22"/>
  <sheetViews>
    <sheetView zoomScale="110" zoomScaleNormal="110" workbookViewId="0">
      <selection activeCell="E22" sqref="E22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Chance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0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0</v>
      </c>
      <c r="E5" s="14"/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0</v>
      </c>
      <c r="E6" s="14"/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0</v>
      </c>
      <c r="E7" s="14"/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0</v>
      </c>
      <c r="E8" s="14"/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0</v>
      </c>
      <c r="E9" s="14"/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0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0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0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0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0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0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0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0</v>
      </c>
      <c r="E17" s="14"/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0</v>
      </c>
      <c r="E18" s="14"/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0</v>
      </c>
      <c r="E19" s="14"/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0</v>
      </c>
      <c r="E20" s="14"/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0</v>
      </c>
      <c r="E21" s="14" t="s">
        <v>54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0</v>
      </c>
      <c r="E22" s="19">
        <f>D22/C22</f>
        <v>0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B98A-D529-4BDC-A48E-83D64CFBA698}">
  <sheetPr>
    <pageSetUpPr fitToPage="1"/>
  </sheetPr>
  <dimension ref="A1:I22"/>
  <sheetViews>
    <sheetView zoomScale="110" zoomScaleNormal="110" workbookViewId="0">
      <selection activeCell="E22" sqref="E22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Devin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0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0</v>
      </c>
      <c r="E5" s="14"/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0</v>
      </c>
      <c r="E6" s="14"/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0</v>
      </c>
      <c r="E7" s="14"/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0</v>
      </c>
      <c r="E8" s="14"/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0</v>
      </c>
      <c r="E9" s="14"/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0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0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0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0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0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0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0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0</v>
      </c>
      <c r="E17" s="14"/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0</v>
      </c>
      <c r="E18" s="14"/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0</v>
      </c>
      <c r="E19" s="14"/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0</v>
      </c>
      <c r="E20" s="14"/>
      <c r="G20" s="13">
        <v>3</v>
      </c>
      <c r="H20" s="14"/>
    </row>
    <row r="21" spans="1:8" ht="26.25" thickBot="1" x14ac:dyDescent="0.3">
      <c r="A21" s="22" t="s">
        <v>18</v>
      </c>
      <c r="B21" s="23"/>
      <c r="C21" s="17">
        <f>SUM(C16:C20)</f>
        <v>15</v>
      </c>
      <c r="D21" s="17">
        <f>SUM(D16:D20)</f>
        <v>0</v>
      </c>
      <c r="E21" s="14" t="s">
        <v>55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0</v>
      </c>
      <c r="E22" s="19">
        <f>D22/C22</f>
        <v>0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D0A0-27A0-41FD-B933-6E39065E2A3A}">
  <sheetPr>
    <pageSetUpPr fitToPage="1"/>
  </sheetPr>
  <dimension ref="A1:I22"/>
  <sheetViews>
    <sheetView zoomScale="110" zoomScaleNormal="110" workbookViewId="0">
      <selection activeCell="E25" sqref="E25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Ethan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 t="s">
        <v>50</v>
      </c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 t="s">
        <v>50</v>
      </c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2</v>
      </c>
      <c r="E6" s="14" t="s">
        <v>50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 t="s">
        <v>50</v>
      </c>
      <c r="G7" s="13">
        <v>3</v>
      </c>
      <c r="H7" s="14"/>
    </row>
    <row r="8" spans="1:8" ht="39" thickBot="1" x14ac:dyDescent="0.3">
      <c r="A8" s="20">
        <v>2</v>
      </c>
      <c r="B8" s="15" t="s">
        <v>11</v>
      </c>
      <c r="C8" s="12">
        <v>4</v>
      </c>
      <c r="D8" s="13">
        <v>3</v>
      </c>
      <c r="E8" s="14" t="s">
        <v>56</v>
      </c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 t="s">
        <v>50</v>
      </c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 t="s">
        <v>50</v>
      </c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 t="s">
        <v>50</v>
      </c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4</v>
      </c>
      <c r="E14" s="14" t="s">
        <v>50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34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 t="s">
        <v>50</v>
      </c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 t="s">
        <v>50</v>
      </c>
      <c r="G17" s="13">
        <v>3</v>
      </c>
      <c r="H17" s="14"/>
    </row>
    <row r="18" spans="1:8" ht="77.2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 t="s">
        <v>57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3</v>
      </c>
      <c r="E19" s="14"/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3</v>
      </c>
      <c r="E20" s="14"/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15</v>
      </c>
      <c r="E21" s="14" t="s">
        <v>58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49</v>
      </c>
      <c r="E22" s="19">
        <f>D22/C22</f>
        <v>0.98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222B-B6B3-4685-AA06-67FFB1362D91}">
  <sheetPr>
    <pageSetUpPr fitToPage="1"/>
  </sheetPr>
  <dimension ref="A1:I22"/>
  <sheetViews>
    <sheetView zoomScale="110" zoomScaleNormal="110" workbookViewId="0">
      <selection activeCell="E22" sqref="E22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Kenneth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/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2</v>
      </c>
      <c r="E6" s="14"/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/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/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/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4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35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/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/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3</v>
      </c>
      <c r="E19" s="14"/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3</v>
      </c>
      <c r="E20" s="14"/>
      <c r="G20" s="13">
        <v>3</v>
      </c>
      <c r="H20" s="14"/>
    </row>
    <row r="21" spans="1:8" ht="39" thickBot="1" x14ac:dyDescent="0.3">
      <c r="A21" s="22" t="s">
        <v>18</v>
      </c>
      <c r="B21" s="23"/>
      <c r="C21" s="17">
        <f>SUM(C16:C20)</f>
        <v>15</v>
      </c>
      <c r="D21" s="17">
        <f>SUM(D16:D20)</f>
        <v>15</v>
      </c>
      <c r="E21" s="14" t="s">
        <v>59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50</v>
      </c>
      <c r="E22" s="19">
        <f>D22/C22</f>
        <v>1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E135-294C-43C9-B906-A7C94B976364}">
  <sheetPr>
    <pageSetUpPr fitToPage="1"/>
  </sheetPr>
  <dimension ref="A1:I22"/>
  <sheetViews>
    <sheetView zoomScale="110" zoomScaleNormal="110" workbookViewId="0">
      <selection activeCell="D10" sqref="D10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Lee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/>
      <c r="G5" s="13">
        <v>2</v>
      </c>
      <c r="H5" s="14"/>
    </row>
    <row r="6" spans="1:8" ht="51.75" thickBot="1" x14ac:dyDescent="0.3">
      <c r="A6" s="30"/>
      <c r="B6" s="15" t="s">
        <v>9</v>
      </c>
      <c r="C6" s="12">
        <v>2</v>
      </c>
      <c r="D6" s="13">
        <v>0</v>
      </c>
      <c r="E6" s="14" t="s">
        <v>60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2</v>
      </c>
      <c r="E7" s="14" t="s">
        <v>61</v>
      </c>
      <c r="G7" s="13">
        <v>3</v>
      </c>
      <c r="H7" s="14"/>
    </row>
    <row r="8" spans="1:8" ht="26.25" thickBot="1" x14ac:dyDescent="0.3">
      <c r="A8" s="20">
        <v>2</v>
      </c>
      <c r="B8" s="15" t="s">
        <v>11</v>
      </c>
      <c r="C8" s="12">
        <v>4</v>
      </c>
      <c r="D8" s="13">
        <v>0</v>
      </c>
      <c r="E8" s="14" t="s">
        <v>62</v>
      </c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0</v>
      </c>
      <c r="E9" s="14" t="s">
        <v>63</v>
      </c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0</v>
      </c>
      <c r="E10" s="14" t="s">
        <v>63</v>
      </c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0</v>
      </c>
      <c r="E11" s="14" t="s">
        <v>63</v>
      </c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0</v>
      </c>
      <c r="E12" s="14" t="s">
        <v>64</v>
      </c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0</v>
      </c>
      <c r="E13" s="14" t="s">
        <v>64</v>
      </c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0</v>
      </c>
      <c r="E14" s="14" t="s">
        <v>64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6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0</v>
      </c>
      <c r="E16" s="14" t="s">
        <v>64</v>
      </c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0</v>
      </c>
      <c r="E17" s="14" t="s">
        <v>64</v>
      </c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0</v>
      </c>
      <c r="E18" s="14" t="s">
        <v>64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0</v>
      </c>
      <c r="E19" s="14" t="s">
        <v>64</v>
      </c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0</v>
      </c>
      <c r="E20" s="14" t="s">
        <v>64</v>
      </c>
      <c r="G20" s="13">
        <v>3</v>
      </c>
      <c r="H20" s="14"/>
    </row>
    <row r="21" spans="1:8" ht="39" thickBot="1" x14ac:dyDescent="0.3">
      <c r="A21" s="22" t="s">
        <v>18</v>
      </c>
      <c r="B21" s="23"/>
      <c r="C21" s="17">
        <f>SUM(C16:C20)</f>
        <v>15</v>
      </c>
      <c r="D21" s="17">
        <f>SUM(D16:D20)</f>
        <v>0</v>
      </c>
      <c r="E21" s="14" t="s">
        <v>65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6</v>
      </c>
      <c r="E22" s="19">
        <f>D22/C22</f>
        <v>0.12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9344-5B2B-456B-B64C-ADD1C88BBEEA}">
  <sheetPr>
    <pageSetUpPr fitToPage="1"/>
  </sheetPr>
  <dimension ref="A1:I22"/>
  <sheetViews>
    <sheetView zoomScale="110" zoomScaleNormal="110" workbookViewId="0">
      <selection activeCell="D9" sqref="D9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Nate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/>
      <c r="G5" s="13">
        <v>2</v>
      </c>
      <c r="H5" s="14"/>
    </row>
    <row r="6" spans="1:8" ht="26.25" thickBot="1" x14ac:dyDescent="0.3">
      <c r="A6" s="30"/>
      <c r="B6" s="15" t="s">
        <v>9</v>
      </c>
      <c r="C6" s="12">
        <v>2</v>
      </c>
      <c r="D6" s="13">
        <v>2</v>
      </c>
      <c r="E6" s="14" t="s">
        <v>66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 t="s">
        <v>25</v>
      </c>
      <c r="G7" s="13">
        <v>3</v>
      </c>
      <c r="H7" s="14"/>
    </row>
    <row r="8" spans="1:8" ht="39" thickBot="1" x14ac:dyDescent="0.3">
      <c r="A8" s="20">
        <v>2</v>
      </c>
      <c r="B8" s="15" t="s">
        <v>11</v>
      </c>
      <c r="C8" s="12">
        <v>4</v>
      </c>
      <c r="D8" s="13">
        <v>2</v>
      </c>
      <c r="E8" s="14" t="s">
        <v>67</v>
      </c>
      <c r="G8" s="13">
        <v>4</v>
      </c>
      <c r="H8" s="14"/>
    </row>
    <row r="9" spans="1:8" ht="26.25" thickBot="1" x14ac:dyDescent="0.3">
      <c r="A9" s="30"/>
      <c r="B9" s="15" t="s">
        <v>12</v>
      </c>
      <c r="C9" s="12">
        <v>4</v>
      </c>
      <c r="D9" s="13">
        <v>4</v>
      </c>
      <c r="E9" s="14" t="s">
        <v>68</v>
      </c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 t="s">
        <v>25</v>
      </c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 t="s">
        <v>25</v>
      </c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 t="s">
        <v>25</v>
      </c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 t="s">
        <v>25</v>
      </c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3</v>
      </c>
      <c r="E14" s="14" t="s">
        <v>69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32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 t="s">
        <v>25</v>
      </c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 t="s">
        <v>25</v>
      </c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 t="s">
        <v>25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3</v>
      </c>
      <c r="E19" s="14" t="s">
        <v>25</v>
      </c>
      <c r="G19" s="13">
        <v>3</v>
      </c>
      <c r="H19" s="14"/>
    </row>
    <row r="20" spans="1:8" ht="26.25" thickBot="1" x14ac:dyDescent="0.3">
      <c r="A20" s="16">
        <v>5</v>
      </c>
      <c r="B20" s="15" t="s">
        <v>23</v>
      </c>
      <c r="C20" s="12">
        <v>3</v>
      </c>
      <c r="D20" s="13">
        <v>2</v>
      </c>
      <c r="E20" s="14" t="s">
        <v>70</v>
      </c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14</v>
      </c>
      <c r="E21" s="14"/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46</v>
      </c>
      <c r="E22" s="19">
        <f>D22/C22</f>
        <v>0.92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D5AC-64CD-4CFA-B49C-AC15BE2CC1A5}">
  <sheetPr>
    <pageSetUpPr fitToPage="1"/>
  </sheetPr>
  <dimension ref="A1:I22"/>
  <sheetViews>
    <sheetView zoomScale="110" zoomScaleNormal="110" workbookViewId="0">
      <selection activeCell="D32" sqref="D32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Nick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26.25" thickBot="1" x14ac:dyDescent="0.3">
      <c r="A5" s="30"/>
      <c r="B5" s="15" t="s">
        <v>8</v>
      </c>
      <c r="C5" s="12">
        <v>2</v>
      </c>
      <c r="D5" s="13">
        <v>2</v>
      </c>
      <c r="E5" s="14" t="s">
        <v>71</v>
      </c>
      <c r="G5" s="13">
        <v>2</v>
      </c>
      <c r="H5" s="14"/>
    </row>
    <row r="6" spans="1:8" ht="26.25" thickBot="1" x14ac:dyDescent="0.3">
      <c r="A6" s="30"/>
      <c r="B6" s="15" t="s">
        <v>9</v>
      </c>
      <c r="C6" s="12">
        <v>2</v>
      </c>
      <c r="D6" s="13">
        <v>2</v>
      </c>
      <c r="E6" s="14" t="s">
        <v>72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2</v>
      </c>
      <c r="E7" s="14" t="s">
        <v>74</v>
      </c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 t="s">
        <v>73</v>
      </c>
      <c r="G8" s="13">
        <v>4</v>
      </c>
      <c r="H8" s="14"/>
    </row>
    <row r="9" spans="1:8" ht="28.5" customHeight="1" thickBot="1" x14ac:dyDescent="0.3">
      <c r="A9" s="30"/>
      <c r="B9" s="15" t="s">
        <v>12</v>
      </c>
      <c r="C9" s="12">
        <v>4</v>
      </c>
      <c r="D9" s="13">
        <v>3</v>
      </c>
      <c r="E9" s="14" t="s">
        <v>76</v>
      </c>
      <c r="G9" s="13">
        <v>4</v>
      </c>
      <c r="H9" s="14"/>
    </row>
    <row r="10" spans="1:8" ht="39" thickBot="1" x14ac:dyDescent="0.3">
      <c r="A10" s="30"/>
      <c r="B10" s="15" t="s">
        <v>13</v>
      </c>
      <c r="C10" s="12">
        <v>4</v>
      </c>
      <c r="D10" s="13">
        <v>3</v>
      </c>
      <c r="E10" s="14" t="s">
        <v>77</v>
      </c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 t="s">
        <v>78</v>
      </c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0</v>
      </c>
      <c r="E12" s="14" t="s">
        <v>36</v>
      </c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 t="s">
        <v>25</v>
      </c>
      <c r="G13" s="13">
        <v>4</v>
      </c>
      <c r="H13" s="14"/>
    </row>
    <row r="14" spans="1:8" ht="26.25" thickBot="1" x14ac:dyDescent="0.3">
      <c r="A14" s="21"/>
      <c r="B14" s="11" t="s">
        <v>17</v>
      </c>
      <c r="C14" s="12">
        <v>4</v>
      </c>
      <c r="D14" s="13">
        <v>3</v>
      </c>
      <c r="E14" s="14" t="s">
        <v>79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29</v>
      </c>
      <c r="E15" s="14"/>
      <c r="G15" s="17">
        <f>SUM(G4:G14)</f>
        <v>35</v>
      </c>
      <c r="H15" s="14"/>
    </row>
    <row r="16" spans="1:8" ht="26.25" thickBot="1" x14ac:dyDescent="0.3">
      <c r="A16" s="20">
        <v>3</v>
      </c>
      <c r="B16" s="15" t="s">
        <v>19</v>
      </c>
      <c r="C16" s="12">
        <v>3</v>
      </c>
      <c r="D16" s="13">
        <v>1</v>
      </c>
      <c r="E16" s="14" t="s">
        <v>75</v>
      </c>
      <c r="G16" s="13">
        <v>3</v>
      </c>
      <c r="H16" s="14"/>
    </row>
    <row r="17" spans="1:8" ht="26.25" thickBot="1" x14ac:dyDescent="0.3">
      <c r="A17" s="21"/>
      <c r="B17" s="15" t="s">
        <v>20</v>
      </c>
      <c r="C17" s="12">
        <v>3</v>
      </c>
      <c r="D17" s="13">
        <v>1</v>
      </c>
      <c r="E17" s="14" t="s">
        <v>75</v>
      </c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0</v>
      </c>
      <c r="E18" s="14" t="s">
        <v>63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0</v>
      </c>
      <c r="E19" s="14" t="s">
        <v>63</v>
      </c>
      <c r="G19" s="13">
        <v>3</v>
      </c>
      <c r="H19" s="14"/>
    </row>
    <row r="20" spans="1:8" ht="26.25" thickBot="1" x14ac:dyDescent="0.3">
      <c r="A20" s="16">
        <v>5</v>
      </c>
      <c r="B20" s="15" t="s">
        <v>23</v>
      </c>
      <c r="C20" s="12">
        <v>3</v>
      </c>
      <c r="D20" s="13">
        <v>1</v>
      </c>
      <c r="E20" s="14" t="s">
        <v>80</v>
      </c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3</v>
      </c>
      <c r="E21" s="14"/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32</v>
      </c>
      <c r="E22" s="19">
        <f>D22/C22</f>
        <v>0.64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381B-AB0F-49BC-8543-91ABFA5B2C76}">
  <sheetPr>
    <pageSetUpPr fitToPage="1"/>
  </sheetPr>
  <dimension ref="A1:I22"/>
  <sheetViews>
    <sheetView zoomScale="110" zoomScaleNormal="110" workbookViewId="0">
      <selection activeCell="E22" sqref="E22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Paul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82.5" customHeight="1" thickBot="1" x14ac:dyDescent="0.3">
      <c r="A5" s="30"/>
      <c r="B5" s="15" t="s">
        <v>8</v>
      </c>
      <c r="C5" s="12">
        <v>2</v>
      </c>
      <c r="D5" s="13">
        <v>2</v>
      </c>
      <c r="E5" s="14" t="s">
        <v>81</v>
      </c>
      <c r="G5" s="13">
        <v>2</v>
      </c>
      <c r="H5" s="14"/>
    </row>
    <row r="6" spans="1:8" ht="39" thickBot="1" x14ac:dyDescent="0.3">
      <c r="A6" s="30"/>
      <c r="B6" s="15" t="s">
        <v>9</v>
      </c>
      <c r="C6" s="12">
        <v>2</v>
      </c>
      <c r="D6" s="13">
        <v>2</v>
      </c>
      <c r="E6" s="14" t="s">
        <v>82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/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/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/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4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35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/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/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3</v>
      </c>
      <c r="E19" s="14"/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3</v>
      </c>
      <c r="E20" s="14"/>
      <c r="G20" s="13">
        <v>3</v>
      </c>
      <c r="H20" s="14"/>
    </row>
    <row r="21" spans="1:8" ht="51.75" thickBot="1" x14ac:dyDescent="0.3">
      <c r="A21" s="22" t="s">
        <v>18</v>
      </c>
      <c r="B21" s="23"/>
      <c r="C21" s="17">
        <f>SUM(C16:C20)</f>
        <v>15</v>
      </c>
      <c r="D21" s="17">
        <f>SUM(D16:D20)</f>
        <v>15</v>
      </c>
      <c r="E21" s="14" t="s">
        <v>83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50</v>
      </c>
      <c r="E22" s="19">
        <f>D22/C22</f>
        <v>1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2045-E126-4656-BD0E-AA88E0B61518}">
  <sheetPr>
    <pageSetUpPr fitToPage="1"/>
  </sheetPr>
  <dimension ref="A1:I22"/>
  <sheetViews>
    <sheetView zoomScale="110" zoomScaleNormal="110" workbookViewId="0">
      <selection activeCell="E20" sqref="E20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Riley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/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0</v>
      </c>
      <c r="E6" s="14" t="s">
        <v>36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/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/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/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4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33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/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/>
      <c r="G18" s="13">
        <v>3</v>
      </c>
      <c r="H18" s="14"/>
    </row>
    <row r="19" spans="1:8" ht="26.25" thickBot="1" x14ac:dyDescent="0.3">
      <c r="A19" s="21"/>
      <c r="B19" s="15" t="s">
        <v>22</v>
      </c>
      <c r="C19" s="12">
        <v>3</v>
      </c>
      <c r="D19" s="13">
        <v>3</v>
      </c>
      <c r="E19" s="14" t="s">
        <v>85</v>
      </c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3</v>
      </c>
      <c r="E20" s="14"/>
      <c r="G20" s="13">
        <v>3</v>
      </c>
      <c r="H20" s="14"/>
    </row>
    <row r="21" spans="1:8" ht="39" thickBot="1" x14ac:dyDescent="0.3">
      <c r="A21" s="22" t="s">
        <v>18</v>
      </c>
      <c r="B21" s="23"/>
      <c r="C21" s="17">
        <f>SUM(C16:C20)</f>
        <v>15</v>
      </c>
      <c r="D21" s="17">
        <f>SUM(D16:D20)</f>
        <v>15</v>
      </c>
      <c r="E21" s="14" t="s">
        <v>84</v>
      </c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48</v>
      </c>
      <c r="E22" s="19">
        <f>D22/C22</f>
        <v>0.96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9555-0AA4-4FCD-8E64-7BBA0FF243C3}">
  <sheetPr>
    <pageSetUpPr fitToPage="1"/>
  </sheetPr>
  <dimension ref="A1:I22"/>
  <sheetViews>
    <sheetView zoomScale="110" zoomScaleNormal="110" workbookViewId="0">
      <selection activeCell="C38" sqref="C38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Sawyer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0</v>
      </c>
      <c r="E5" s="14" t="s">
        <v>86</v>
      </c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0</v>
      </c>
      <c r="E6" s="14" t="s">
        <v>86</v>
      </c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 t="s">
        <v>87</v>
      </c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 t="s">
        <v>25</v>
      </c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 t="s">
        <v>25</v>
      </c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 t="s">
        <v>25</v>
      </c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 t="s">
        <v>25</v>
      </c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 t="s">
        <v>25</v>
      </c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 t="s">
        <v>25</v>
      </c>
      <c r="G13" s="13">
        <v>4</v>
      </c>
      <c r="H13" s="14"/>
    </row>
    <row r="14" spans="1:8" ht="26.25" thickBot="1" x14ac:dyDescent="0.3">
      <c r="A14" s="21"/>
      <c r="B14" s="11" t="s">
        <v>17</v>
      </c>
      <c r="C14" s="12">
        <v>4</v>
      </c>
      <c r="D14" s="13">
        <v>2</v>
      </c>
      <c r="E14" s="14" t="s">
        <v>91</v>
      </c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29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1</v>
      </c>
      <c r="E16" s="14" t="s">
        <v>88</v>
      </c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1</v>
      </c>
      <c r="E17" s="14" t="s">
        <v>88</v>
      </c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0</v>
      </c>
      <c r="E18" s="14" t="s">
        <v>89</v>
      </c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0</v>
      </c>
      <c r="E19" s="14" t="s">
        <v>63</v>
      </c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0</v>
      </c>
      <c r="E20" s="14" t="s">
        <v>90</v>
      </c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2</v>
      </c>
      <c r="E21" s="14"/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31</v>
      </c>
      <c r="E22" s="19">
        <f>D22/C22</f>
        <v>0.62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79E5-8701-43F1-B07F-BFDA42A1F3F5}">
  <sheetPr>
    <pageSetUpPr fitToPage="1"/>
  </sheetPr>
  <dimension ref="A1:I22"/>
  <sheetViews>
    <sheetView tabSelected="1" zoomScale="110" zoomScaleNormal="110" workbookViewId="0">
      <selection sqref="A1:E22"/>
    </sheetView>
  </sheetViews>
  <sheetFormatPr defaultRowHeight="15" x14ac:dyDescent="0.25"/>
  <cols>
    <col min="2" max="2" width="48.5703125" customWidth="1"/>
    <col min="3" max="3" width="9.140625" style="2" customWidth="1"/>
    <col min="4" max="4" width="9.28515625" style="2" customWidth="1"/>
    <col min="5" max="5" width="32.85546875" style="3" customWidth="1"/>
    <col min="6" max="6" width="12.7109375" style="2" customWidth="1"/>
    <col min="7" max="7" width="9.28515625" style="2" customWidth="1"/>
    <col min="8" max="8" width="26.42578125" style="3" customWidth="1"/>
    <col min="9" max="9" width="12.7109375" style="2" customWidth="1"/>
  </cols>
  <sheetData>
    <row r="1" spans="1:8" ht="21" x14ac:dyDescent="0.35">
      <c r="A1" s="26" t="s">
        <v>2</v>
      </c>
      <c r="B1" s="27"/>
      <c r="C1" s="27"/>
      <c r="D1" s="28"/>
      <c r="E1" s="4"/>
      <c r="F1"/>
      <c r="H1"/>
    </row>
    <row r="2" spans="1:8" ht="15.75" thickBot="1" x14ac:dyDescent="0.3">
      <c r="A2" s="5" t="s">
        <v>3</v>
      </c>
      <c r="B2" s="29" t="str">
        <f ca="1">MID(CELL("filename",A1), FIND("]", CELL("filename", A1))+ 1, 255)</f>
        <v>2049</v>
      </c>
      <c r="C2" s="29"/>
      <c r="D2" s="6"/>
      <c r="E2" s="1"/>
      <c r="G2" s="3"/>
      <c r="H2" s="2"/>
    </row>
    <row r="3" spans="1:8" ht="15.75" thickBot="1" x14ac:dyDescent="0.3">
      <c r="A3" s="7" t="s">
        <v>4</v>
      </c>
      <c r="B3" s="8" t="s">
        <v>5</v>
      </c>
      <c r="C3" s="8" t="s">
        <v>0</v>
      </c>
      <c r="D3" s="9" t="s">
        <v>6</v>
      </c>
      <c r="E3" s="10" t="s">
        <v>1</v>
      </c>
      <c r="G3" s="3"/>
      <c r="H3" s="2"/>
    </row>
    <row r="4" spans="1:8" ht="15.75" thickBot="1" x14ac:dyDescent="0.3">
      <c r="A4" s="20">
        <v>1</v>
      </c>
      <c r="B4" s="11" t="s">
        <v>7</v>
      </c>
      <c r="C4" s="12">
        <v>2</v>
      </c>
      <c r="D4" s="13">
        <v>2</v>
      </c>
      <c r="E4" s="14"/>
      <c r="G4" s="13">
        <v>2</v>
      </c>
      <c r="H4" s="14"/>
    </row>
    <row r="5" spans="1:8" ht="15.75" thickBot="1" x14ac:dyDescent="0.3">
      <c r="A5" s="30"/>
      <c r="B5" s="15" t="s">
        <v>8</v>
      </c>
      <c r="C5" s="12">
        <v>2</v>
      </c>
      <c r="D5" s="13">
        <v>2</v>
      </c>
      <c r="E5" s="14"/>
      <c r="G5" s="13">
        <v>2</v>
      </c>
      <c r="H5" s="14"/>
    </row>
    <row r="6" spans="1:8" ht="15.75" thickBot="1" x14ac:dyDescent="0.3">
      <c r="A6" s="30"/>
      <c r="B6" s="15" t="s">
        <v>9</v>
      </c>
      <c r="C6" s="12">
        <v>2</v>
      </c>
      <c r="D6" s="13">
        <v>2</v>
      </c>
      <c r="E6" s="14"/>
      <c r="G6" s="13">
        <v>2</v>
      </c>
      <c r="H6" s="14"/>
    </row>
    <row r="7" spans="1:8" ht="26.25" thickBot="1" x14ac:dyDescent="0.3">
      <c r="A7" s="21"/>
      <c r="B7" s="15" t="s">
        <v>10</v>
      </c>
      <c r="C7" s="12">
        <v>3</v>
      </c>
      <c r="D7" s="13">
        <v>3</v>
      </c>
      <c r="E7" s="14"/>
      <c r="G7" s="13">
        <v>3</v>
      </c>
      <c r="H7" s="14"/>
    </row>
    <row r="8" spans="1:8" ht="15.75" thickBot="1" x14ac:dyDescent="0.3">
      <c r="A8" s="20">
        <v>2</v>
      </c>
      <c r="B8" s="15" t="s">
        <v>11</v>
      </c>
      <c r="C8" s="12">
        <v>4</v>
      </c>
      <c r="D8" s="13">
        <v>4</v>
      </c>
      <c r="E8" s="14"/>
      <c r="G8" s="13">
        <v>4</v>
      </c>
      <c r="H8" s="14"/>
    </row>
    <row r="9" spans="1:8" ht="15.75" thickBot="1" x14ac:dyDescent="0.3">
      <c r="A9" s="30"/>
      <c r="B9" s="15" t="s">
        <v>12</v>
      </c>
      <c r="C9" s="12">
        <v>4</v>
      </c>
      <c r="D9" s="13">
        <v>4</v>
      </c>
      <c r="E9" s="14"/>
      <c r="G9" s="13">
        <v>4</v>
      </c>
      <c r="H9" s="14"/>
    </row>
    <row r="10" spans="1:8" ht="15.75" thickBot="1" x14ac:dyDescent="0.3">
      <c r="A10" s="30"/>
      <c r="B10" s="15" t="s">
        <v>13</v>
      </c>
      <c r="C10" s="12">
        <v>4</v>
      </c>
      <c r="D10" s="13">
        <v>4</v>
      </c>
      <c r="E10" s="14"/>
      <c r="G10" s="13">
        <v>4</v>
      </c>
      <c r="H10" s="14"/>
    </row>
    <row r="11" spans="1:8" ht="15.75" thickBot="1" x14ac:dyDescent="0.3">
      <c r="A11" s="30"/>
      <c r="B11" s="15" t="s">
        <v>14</v>
      </c>
      <c r="C11" s="12">
        <v>4</v>
      </c>
      <c r="D11" s="13">
        <v>4</v>
      </c>
      <c r="E11" s="14"/>
      <c r="G11" s="13">
        <v>4</v>
      </c>
      <c r="H11" s="14"/>
    </row>
    <row r="12" spans="1:8" ht="15.75" thickBot="1" x14ac:dyDescent="0.3">
      <c r="A12" s="30"/>
      <c r="B12" s="15" t="s">
        <v>15</v>
      </c>
      <c r="C12" s="12">
        <v>2</v>
      </c>
      <c r="D12" s="13">
        <v>2</v>
      </c>
      <c r="E12" s="14"/>
      <c r="G12" s="13">
        <v>2</v>
      </c>
      <c r="H12" s="14"/>
    </row>
    <row r="13" spans="1:8" ht="15.75" thickBot="1" x14ac:dyDescent="0.3">
      <c r="A13" s="30"/>
      <c r="B13" s="15" t="s">
        <v>16</v>
      </c>
      <c r="C13" s="12">
        <v>4</v>
      </c>
      <c r="D13" s="13">
        <v>4</v>
      </c>
      <c r="E13" s="14"/>
      <c r="G13" s="13">
        <v>4</v>
      </c>
      <c r="H13" s="14"/>
    </row>
    <row r="14" spans="1:8" ht="15.75" thickBot="1" x14ac:dyDescent="0.3">
      <c r="A14" s="21"/>
      <c r="B14" s="11" t="s">
        <v>17</v>
      </c>
      <c r="C14" s="12">
        <v>4</v>
      </c>
      <c r="D14" s="13">
        <v>4</v>
      </c>
      <c r="E14" s="14"/>
      <c r="G14" s="13">
        <v>4</v>
      </c>
      <c r="H14" s="14"/>
    </row>
    <row r="15" spans="1:8" ht="15.75" thickBot="1" x14ac:dyDescent="0.3">
      <c r="A15" s="31" t="s">
        <v>18</v>
      </c>
      <c r="B15" s="32"/>
      <c r="C15" s="17">
        <f>SUM(C4:C14)</f>
        <v>35</v>
      </c>
      <c r="D15" s="17">
        <f>SUM(D4:D14)</f>
        <v>35</v>
      </c>
      <c r="E15" s="14"/>
      <c r="G15" s="17">
        <f>SUM(G4:G14)</f>
        <v>35</v>
      </c>
      <c r="H15" s="14"/>
    </row>
    <row r="16" spans="1:8" ht="15.75" thickBot="1" x14ac:dyDescent="0.3">
      <c r="A16" s="20">
        <v>3</v>
      </c>
      <c r="B16" s="15" t="s">
        <v>19</v>
      </c>
      <c r="C16" s="12">
        <v>3</v>
      </c>
      <c r="D16" s="13">
        <v>3</v>
      </c>
      <c r="E16" s="14"/>
      <c r="G16" s="13">
        <v>3</v>
      </c>
      <c r="H16" s="14"/>
    </row>
    <row r="17" spans="1:8" ht="15.75" thickBot="1" x14ac:dyDescent="0.3">
      <c r="A17" s="21"/>
      <c r="B17" s="15" t="s">
        <v>20</v>
      </c>
      <c r="C17" s="12">
        <v>3</v>
      </c>
      <c r="D17" s="13">
        <v>3</v>
      </c>
      <c r="E17" s="14"/>
      <c r="G17" s="13">
        <v>3</v>
      </c>
      <c r="H17" s="14"/>
    </row>
    <row r="18" spans="1:8" ht="15.75" thickBot="1" x14ac:dyDescent="0.3">
      <c r="A18" s="20">
        <v>4</v>
      </c>
      <c r="B18" s="15" t="s">
        <v>21</v>
      </c>
      <c r="C18" s="12">
        <v>3</v>
      </c>
      <c r="D18" s="13">
        <v>3</v>
      </c>
      <c r="E18" s="14"/>
      <c r="G18" s="13">
        <v>3</v>
      </c>
      <c r="H18" s="14"/>
    </row>
    <row r="19" spans="1:8" ht="15.75" thickBot="1" x14ac:dyDescent="0.3">
      <c r="A19" s="21"/>
      <c r="B19" s="15" t="s">
        <v>22</v>
      </c>
      <c r="C19" s="12">
        <v>3</v>
      </c>
      <c r="D19" s="13">
        <v>3</v>
      </c>
      <c r="E19" s="14"/>
      <c r="G19" s="13">
        <v>3</v>
      </c>
      <c r="H19" s="14"/>
    </row>
    <row r="20" spans="1:8" ht="15.75" thickBot="1" x14ac:dyDescent="0.3">
      <c r="A20" s="16">
        <v>5</v>
      </c>
      <c r="B20" s="15" t="s">
        <v>23</v>
      </c>
      <c r="C20" s="12">
        <v>3</v>
      </c>
      <c r="D20" s="13">
        <v>3</v>
      </c>
      <c r="E20" s="14"/>
      <c r="G20" s="13">
        <v>3</v>
      </c>
      <c r="H20" s="14"/>
    </row>
    <row r="21" spans="1:8" ht="15.75" thickBot="1" x14ac:dyDescent="0.3">
      <c r="A21" s="22" t="s">
        <v>18</v>
      </c>
      <c r="B21" s="23"/>
      <c r="C21" s="17">
        <f>SUM(C16:C20)</f>
        <v>15</v>
      </c>
      <c r="D21" s="17">
        <f>SUM(D16:D20)</f>
        <v>15</v>
      </c>
      <c r="E21" s="14"/>
      <c r="G21" s="17">
        <f>SUM(G16:G20)</f>
        <v>15</v>
      </c>
      <c r="H21" s="14"/>
    </row>
    <row r="22" spans="1:8" ht="15.75" thickBot="1" x14ac:dyDescent="0.3">
      <c r="A22" s="24" t="s">
        <v>24</v>
      </c>
      <c r="B22" s="25"/>
      <c r="C22" s="18">
        <f>C15+C21</f>
        <v>50</v>
      </c>
      <c r="D22" s="18">
        <f>D15+D21</f>
        <v>50</v>
      </c>
      <c r="E22" s="19">
        <f>D22/C22</f>
        <v>1</v>
      </c>
    </row>
  </sheetData>
  <mergeCells count="9">
    <mergeCell ref="A16:A17"/>
    <mergeCell ref="A18:A19"/>
    <mergeCell ref="A21:B21"/>
    <mergeCell ref="A22:B22"/>
    <mergeCell ref="A1:D1"/>
    <mergeCell ref="B2:C2"/>
    <mergeCell ref="A4:A7"/>
    <mergeCell ref="A8:A14"/>
    <mergeCell ref="A15:B15"/>
  </mergeCells>
  <pageMargins left="0.25" right="0.25" top="0.75" bottom="0.75" header="0.3" footer="0.3"/>
  <pageSetup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Anders</vt:lpstr>
      <vt:lpstr>Chang</vt:lpstr>
      <vt:lpstr>Anthony</vt:lpstr>
      <vt:lpstr>Chance</vt:lpstr>
      <vt:lpstr>Devin</vt:lpstr>
      <vt:lpstr>Ethan</vt:lpstr>
      <vt:lpstr>Kenneth</vt:lpstr>
      <vt:lpstr>Lee</vt:lpstr>
      <vt:lpstr>Nate</vt:lpstr>
      <vt:lpstr>Nick</vt:lpstr>
      <vt:lpstr>Paul</vt:lpstr>
      <vt:lpstr>Riley</vt:lpstr>
      <vt:lpstr>Sawyer</vt:lpstr>
      <vt:lpstr>2049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2023-04-07T19:25:52Z</dcterms:modified>
</cp:coreProperties>
</file>